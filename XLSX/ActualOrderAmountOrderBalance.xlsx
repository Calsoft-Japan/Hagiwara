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wnLi\Documents\Cals\Hagiwara_Upgrade\BC\AL\Hagiwara\XLSX\"/>
    </mc:Choice>
  </mc:AlternateContent>
  <xr:revisionPtr revIDLastSave="0" documentId="13_ncr:1_{158EF02F-F5C7-4F81-AC37-A08BA081FC51}" xr6:coauthVersionLast="47" xr6:coauthVersionMax="47" xr10:uidLastSave="{00000000-0000-0000-0000-000000000000}"/>
  <bookViews>
    <workbookView xWindow="28690" yWindow="-110" windowWidth="29020" windowHeight="15700" tabRatio="878" activeTab="5" xr2:uid="{00000000-000D-0000-FFFF-FFFF00000000}"/>
  </bookViews>
  <sheets>
    <sheet name="Date" sheetId="11" r:id="rId1"/>
    <sheet name="Remaining Sales Order" sheetId="12" state="hidden" r:id="rId2"/>
    <sheet name="Sales Order Actual" sheetId="13" state="hidden" r:id="rId3"/>
    <sheet name="Sales Order Balance" sheetId="14" state="hidden" r:id="rId4"/>
    <sheet name="Customer" sheetId="15" r:id="rId5"/>
    <sheet name="Order Summary by Customer" sheetId="16" r:id="rId6"/>
    <sheet name="TranslationData" sheetId="2" state="hidden" r:id="rId7"/>
    <sheet name="CaptionData" sheetId="3" state="hidden" r:id="rId8"/>
    <sheet name="Aggregated Metadata" sheetId="4" state="hidden" r:id="rId9"/>
    <sheet name="DateSheet" sheetId="5" state="hidden" r:id="rId10"/>
    <sheet name="RemainingSalesOrder" sheetId="6" state="hidden" r:id="rId11"/>
    <sheet name="SalesOrderActual" sheetId="7" state="hidden" r:id="rId12"/>
    <sheet name="SalesOrderBalance" sheetId="8" state="hidden" r:id="rId13"/>
    <sheet name="CustomerSheet" sheetId="9" state="hidden" r:id="rId14"/>
    <sheet name="OrderSummarybyCustomer" sheetId="10" state="hidden" r:id="rId15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definedName>
    <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definedName>
    <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definedName>
    <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1" l="1"/>
  <c r="A2" i="16" a="1"/>
  <c r="A2" i="16" s="1"/>
  <c r="A2" i="15" a="1"/>
  <c r="A2" i="15" s="1"/>
  <c r="A2" i="14" a="1"/>
  <c r="A2" i="14" s="1"/>
  <c r="A2" i="13" a="1"/>
  <c r="A2" i="13" s="1"/>
  <c r="A2" i="12" a="1"/>
  <c r="A2" i="12" s="1"/>
  <c r="B2" i="11"/>
  <c r="A2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<sst xmlns="http://schemas.openxmlformats.org/spreadsheetml/2006/main" count="323" uniqueCount="224">
  <si>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</si>
  <si>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</si>
  <si>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</si>
  <si>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</si>
  <si>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</si>
  <si>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</si>
  <si>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</si>
  <si>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</si>
  <si>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</si>
  <si>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</si>
  <si>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</si>
  <si>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</si>
  <si>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</si>
  <si>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</si>
  <si>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</si>
  <si>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</si>
  <si>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</si>
  <si>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</si>
  <si>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</si>
  <si>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</si>
  <si>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</si>
  <si>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</si>
  <si>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</si>
  <si>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</si>
  <si>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</si>
  <si>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</si>
  <si>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</si>
  <si>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</si>
  <si>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</si>
  <si>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</si>
  <si>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</si>
  <si>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</si>
  <si>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</si>
  <si>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</si>
  <si>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</si>
  <si>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</si>
  <si>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</si>
  <si>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</si>
  <si>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</si>
  <si>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</si>
  <si>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</si>
  <si>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</si>
  <si>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</si>
  <si>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</si>
  <si>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</si>
  <si>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</si>
  <si>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</si>
  <si>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</si>
  <si>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</si>
  <si>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</si>
  <si>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</si>
  <si>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</si>
  <si>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</si>
  <si>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</si>
  <si>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</si>
  <si>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</si>
  <si>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</si>
  <si>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</si>
  <si>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</si>
  <si>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</si>
  <si>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</si>
  <si>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</si>
  <si>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</si>
  <si>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</si>
  <si>
    <t>From</t>
  </si>
  <si>
    <t>To</t>
  </si>
  <si>
    <t>CustPostGrpFilter</t>
  </si>
  <si>
    <t/>
  </si>
  <si>
    <t>SO_DocumentType</t>
  </si>
  <si>
    <t>SO_DocumentNo</t>
  </si>
  <si>
    <t>SO_SelltoCustomerNo</t>
  </si>
  <si>
    <t>SO_Type</t>
  </si>
  <si>
    <t>SO_No</t>
  </si>
  <si>
    <t>SO_CustomerItemNo</t>
  </si>
  <si>
    <t>SO_PartsNo</t>
  </si>
  <si>
    <t>SO_Rank</t>
  </si>
  <si>
    <t>SO_Products</t>
  </si>
  <si>
    <t>SO_OEMNo</t>
  </si>
  <si>
    <t>SO_OrderDate</t>
  </si>
  <si>
    <t>SO_PromisedDeliveryDate1</t>
  </si>
  <si>
    <t>SO_RequestedDeliveryDate1</t>
  </si>
  <si>
    <t>SO_Description</t>
  </si>
  <si>
    <t>SO_CustomerOrderNo</t>
  </si>
  <si>
    <t>SO_LocationCode</t>
  </si>
  <si>
    <t>SO_Reserve</t>
  </si>
  <si>
    <t>SO_Quantity</t>
  </si>
  <si>
    <t>SO_ReservedQtyBase</t>
  </si>
  <si>
    <t>SO_FullyReserved</t>
  </si>
  <si>
    <t>SO_UnitofMeasureCode</t>
  </si>
  <si>
    <t>SO_UnitPriceExcl_VAT</t>
  </si>
  <si>
    <t>SO_UnitCost</t>
  </si>
  <si>
    <t>SO_UnitCost_LCY</t>
  </si>
  <si>
    <t>SO_LineAmountExclVAT</t>
  </si>
  <si>
    <t>SO_LineAmountExclVATLCY</t>
  </si>
  <si>
    <t>SO_ShipmentDate</t>
  </si>
  <si>
    <t>SO_OutstandingQuantity</t>
  </si>
  <si>
    <t>SO_OutstandingQtyBase</t>
  </si>
  <si>
    <t>SO_Calculated</t>
  </si>
  <si>
    <t>SO_CustomerPostingGroup</t>
  </si>
  <si>
    <t>SO_ApprovedQuantity</t>
  </si>
  <si>
    <t>SO_ApprovedUnitPrice</t>
  </si>
  <si>
    <t>SO_ApprovedAmount</t>
  </si>
  <si>
    <t>False</t>
  </si>
  <si>
    <t>ACT_ShipmentDate</t>
  </si>
  <si>
    <t>ACT_PostingDate</t>
  </si>
  <si>
    <t>ACT_DocumentDate</t>
  </si>
  <si>
    <t>ACT_No</t>
  </si>
  <si>
    <t>ACT_CustomerNo</t>
  </si>
  <si>
    <t>ACT_Customer</t>
  </si>
  <si>
    <t>ACT_OrderNo</t>
  </si>
  <si>
    <t>ACT_OEMNo</t>
  </si>
  <si>
    <t>ACT_OEMName</t>
  </si>
  <si>
    <t>ACT_CurrencyCode</t>
  </si>
  <si>
    <t>ACT_DueDate</t>
  </si>
  <si>
    <t>ACT_Amount</t>
  </si>
  <si>
    <t>ACT_AmountLCY</t>
  </si>
  <si>
    <t>ACT_AmountIncludingVAT</t>
  </si>
  <si>
    <t>ACT_ExternalDocumentNo</t>
  </si>
  <si>
    <t>ACT_RemainingAmount</t>
  </si>
  <si>
    <t>ACT_LocationCode</t>
  </si>
  <si>
    <t>ACT_PrintedNo</t>
  </si>
  <si>
    <t>ACT_Closed</t>
  </si>
  <si>
    <t>ACT_Cancelled</t>
  </si>
  <si>
    <t>ACT_Corrective</t>
  </si>
  <si>
    <t>ACT_ShipmentMethodCode</t>
  </si>
  <si>
    <t>ACT_CustomerGroupCode</t>
  </si>
  <si>
    <t>ACT_CustomerPostingGroup</t>
  </si>
  <si>
    <t>BAL_ShipmentDate</t>
  </si>
  <si>
    <t>BAL_PostingDate</t>
  </si>
  <si>
    <t>BAL_DocumentDate</t>
  </si>
  <si>
    <t>BAL_No</t>
  </si>
  <si>
    <t>BAL_CustomerNo</t>
  </si>
  <si>
    <t>BAL_Customer</t>
  </si>
  <si>
    <t>BAL_OrderNo</t>
  </si>
  <si>
    <t>BAL_OEMNo</t>
  </si>
  <si>
    <t>BAL_OEMName</t>
  </si>
  <si>
    <t>BAL_CurrencyCode</t>
  </si>
  <si>
    <t>BAL_DueDate</t>
  </si>
  <si>
    <t>BAL_Amount</t>
  </si>
  <si>
    <t>BAL_AmountLCY</t>
  </si>
  <si>
    <t>BAL_AmountIncludingVAT</t>
  </si>
  <si>
    <t>BAL_ExternalDocumentNo</t>
  </si>
  <si>
    <t>BAL_RemainingAmount</t>
  </si>
  <si>
    <t>BAL_LocationCode</t>
  </si>
  <si>
    <t>BAL_PrintedNo</t>
  </si>
  <si>
    <t>BAL_Closed</t>
  </si>
  <si>
    <t>BAL_Cancelled</t>
  </si>
  <si>
    <t>BAL_Corrective</t>
  </si>
  <si>
    <t>BAL_ShipmentMethodCode</t>
  </si>
  <si>
    <t>BAL_CustomerGroupCode</t>
  </si>
  <si>
    <t>BAL_CustomerPostingGroup</t>
  </si>
  <si>
    <t>CU_No</t>
  </si>
  <si>
    <t>CU_FamiliarName</t>
  </si>
  <si>
    <t>CU_Name</t>
  </si>
  <si>
    <t>CU_CountryRegionCode</t>
  </si>
  <si>
    <t>CU_County</t>
  </si>
  <si>
    <t>CU_CustomerPostingGroup</t>
  </si>
  <si>
    <t>CU_ShipmentMethodCode</t>
  </si>
  <si>
    <t>CU_ShippingAgentCode</t>
  </si>
  <si>
    <t>Sum_No</t>
  </si>
  <si>
    <t>Sum_Name</t>
  </si>
  <si>
    <t>Sum_ActOrdAmount</t>
  </si>
  <si>
    <t>Sum_OrdBalance</t>
  </si>
  <si>
    <t>Document Type</t>
  </si>
  <si>
    <t>Document No.</t>
  </si>
  <si>
    <t>Sell-to Customer No.</t>
  </si>
  <si>
    <t>Type</t>
  </si>
  <si>
    <t>No.</t>
  </si>
  <si>
    <t>Customer Item No.</t>
  </si>
  <si>
    <t>Parts No.</t>
  </si>
  <si>
    <t>Rank</t>
  </si>
  <si>
    <t>Products</t>
  </si>
  <si>
    <t>OEM No.</t>
  </si>
  <si>
    <t>Order Date</t>
  </si>
  <si>
    <t>Promised Delivery Date_1</t>
  </si>
  <si>
    <t>Requested Delivery Date_1</t>
  </si>
  <si>
    <t>Description</t>
  </si>
  <si>
    <t>Customer Order No.</t>
  </si>
  <si>
    <t>Location Code</t>
  </si>
  <si>
    <t>Reserve</t>
  </si>
  <si>
    <t>Quantity</t>
  </si>
  <si>
    <t>Reserved Qty. (Base)</t>
  </si>
  <si>
    <t>Fully Reserved</t>
  </si>
  <si>
    <t>Unit of Measure Code</t>
  </si>
  <si>
    <t>Unit Price Excl. VAT</t>
  </si>
  <si>
    <t>Unit Cost</t>
  </si>
  <si>
    <t>Unit Cost (LCY)</t>
  </si>
  <si>
    <t>Line Amount Excl. VAT</t>
  </si>
  <si>
    <t>Line Amount Excl. VAT (LCY)</t>
  </si>
  <si>
    <t>Shipment Date</t>
  </si>
  <si>
    <t>Outstanding Quantity</t>
  </si>
  <si>
    <t>Outstanding Qty. (Base)</t>
  </si>
  <si>
    <t>Order</t>
  </si>
  <si>
    <t>Customer Posting Group</t>
  </si>
  <si>
    <t>Approved Quantity</t>
    <phoneticPr fontId="2"/>
  </si>
  <si>
    <t>Approved Unit Price</t>
    <phoneticPr fontId="2"/>
  </si>
  <si>
    <t>Approved Amount Excl. VAT</t>
    <phoneticPr fontId="2"/>
  </si>
  <si>
    <t>Posting Date</t>
  </si>
  <si>
    <t>Document Date</t>
  </si>
  <si>
    <t>Customer No.</t>
  </si>
  <si>
    <t>Customer</t>
  </si>
  <si>
    <t>Order No.</t>
  </si>
  <si>
    <t>OEM Name</t>
  </si>
  <si>
    <t>Currency Code</t>
  </si>
  <si>
    <t>Due Date</t>
  </si>
  <si>
    <t>Amount</t>
  </si>
  <si>
    <t>Amount LCY</t>
  </si>
  <si>
    <t>Amount Including VAT</t>
  </si>
  <si>
    <t>External Document No.</t>
  </si>
  <si>
    <t>Remaining Amount</t>
  </si>
  <si>
    <t>No. Printed</t>
  </si>
  <si>
    <t>Closed</t>
  </si>
  <si>
    <t>Cancelled</t>
  </si>
  <si>
    <t>Corrective</t>
  </si>
  <si>
    <t>Shipment Method Code</t>
  </si>
  <si>
    <t>Customer group Code</t>
  </si>
  <si>
    <t>Familiar Name</t>
  </si>
  <si>
    <t>Name</t>
  </si>
  <si>
    <t>Country/Region Code</t>
  </si>
  <si>
    <t>County</t>
  </si>
  <si>
    <t>Shipping Agent Code</t>
  </si>
  <si>
    <t>Actual Order Amount</t>
  </si>
  <si>
    <t>Order Balance</t>
  </si>
  <si>
    <t>Customer Posting Group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</si>
</sst>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/yyyy"/>
  </numFmts>
  <fonts count="3" x14ac:knownFonts="1">
    <font>
      <sz val="11"/>
      <name val="游ゴシック"/>
      <family val="2"/>
      <scheme val="minor"/>
    </font>
    <font>
      <b/>
      <sz val="1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0" xfId="0" applyNumberFormat="1" applyFont="1" applyFill="1"/>
    <xf numFmtId="14" fontId="0" fillId="0" borderId="0" xfId="0" applyNumberFormat="1"/>
    <xf numFmtId="4" fontId="0" fillId="0" borderId="0" xfId="0" applyNumberFormat="1"/>
    <xf numFmtId="1" fontId="0" fillId="0" borderId="0" xfId="0" applyNumberFormat="1"/>
    <xf numFmtId="0" fontId="0" fillId="3" borderId="0" xfId="0" applyFill="1"/>
    <xf numFmtId="176" fontId="0" fillId="4" borderId="0" xfId="0" applyNumberFormat="1" applyFill="1"/>
    <xf numFmtId="0" fontId="0" fillId="5" borderId="0" xfId="0" applyFill="1"/>
    <xf numFmtId="176" fontId="0" fillId="0" borderId="0" xfId="0" applyNumberFormat="1"/>
  </cellXfs>
  <cellStyles count="1">
    <cellStyle name="Normal" xfId="0" builtinId="0"/>
  </cellStyles>
  <dxfs count="16"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15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14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3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12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D726F2-778D-4B1C-A5EA-875FED73D050}" name="DateSheet" displayName="DateSheet" ref="A1:C2" totalsRowShown="0" headerRowDxfId="11">
  <autoFilter ref="A1:C2" xr:uid="{41D726F2-778D-4B1C-A5EA-875FED73D050}"/>
  <tableColumns count="3">
    <tableColumn id="1" xr3:uid="{21867904-D69E-41E3-B5BE-D9B124B8D7E4}" name="From"/>
    <tableColumn id="2" xr3:uid="{21867904-D69E-41E3-B5BE-D9B124B8D7E4}" name="To"/>
    <tableColumn id="3" xr3:uid="{21867904-D69E-41E3-B5BE-D9B124B8D7E4}" name="CustPostGrpFilter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D726F2-778D-4B1C-A5EA-875FED73D050}" name="RemainingSalesOrder" displayName="RemainingSalesOrder" ref="A1:AH2" totalsRowShown="0" headerRowDxfId="10">
  <autoFilter ref="A1:AH2" xr:uid="{41D726F2-778D-4B1C-A5EA-875FED73D050}"/>
  <tableColumns count="34">
    <tableColumn id="1" xr3:uid="{21867904-D69E-41E3-B5BE-D9B124B8D7E4}" name="SO_DocumentType"/>
    <tableColumn id="2" xr3:uid="{21867904-D69E-41E3-B5BE-D9B124B8D7E4}" name="SO_DocumentNo"/>
    <tableColumn id="3" xr3:uid="{21867904-D69E-41E3-B5BE-D9B124B8D7E4}" name="SO_SelltoCustomerNo"/>
    <tableColumn id="4" xr3:uid="{21867904-D69E-41E3-B5BE-D9B124B8D7E4}" name="SO_Type"/>
    <tableColumn id="5" xr3:uid="{21867904-D69E-41E3-B5BE-D9B124B8D7E4}" name="SO_No"/>
    <tableColumn id="6" xr3:uid="{21867904-D69E-41E3-B5BE-D9B124B8D7E4}" name="SO_CustomerItemNo"/>
    <tableColumn id="7" xr3:uid="{21867904-D69E-41E3-B5BE-D9B124B8D7E4}" name="SO_PartsNo"/>
    <tableColumn id="8" xr3:uid="{21867904-D69E-41E3-B5BE-D9B124B8D7E4}" name="SO_Rank"/>
    <tableColumn id="9" xr3:uid="{21867904-D69E-41E3-B5BE-D9B124B8D7E4}" name="SO_Products"/>
    <tableColumn id="10" xr3:uid="{21867904-D69E-41E3-B5BE-D9B124B8D7E4}" name="SO_OEMNo"/>
    <tableColumn id="11" xr3:uid="{21867904-D69E-41E3-B5BE-D9B124B8D7E4}" name="SO_OrderDate"/>
    <tableColumn id="12" xr3:uid="{21867904-D69E-41E3-B5BE-D9B124B8D7E4}" name="SO_PromisedDeliveryDate1"/>
    <tableColumn id="13" xr3:uid="{21867904-D69E-41E3-B5BE-D9B124B8D7E4}" name="SO_RequestedDeliveryDate1"/>
    <tableColumn id="14" xr3:uid="{21867904-D69E-41E3-B5BE-D9B124B8D7E4}" name="SO_Description"/>
    <tableColumn id="15" xr3:uid="{21867904-D69E-41E3-B5BE-D9B124B8D7E4}" name="SO_CustomerOrderNo"/>
    <tableColumn id="16" xr3:uid="{21867904-D69E-41E3-B5BE-D9B124B8D7E4}" name="SO_LocationCode"/>
    <tableColumn id="17" xr3:uid="{21867904-D69E-41E3-B5BE-D9B124B8D7E4}" name="SO_Reserve"/>
    <tableColumn id="18" xr3:uid="{21867904-D69E-41E3-B5BE-D9B124B8D7E4}" name="SO_Quantity"/>
    <tableColumn id="19" xr3:uid="{21867904-D69E-41E3-B5BE-D9B124B8D7E4}" name="SO_ReservedQtyBase"/>
    <tableColumn id="20" xr3:uid="{21867904-D69E-41E3-B5BE-D9B124B8D7E4}" name="SO_FullyReserved"/>
    <tableColumn id="21" xr3:uid="{21867904-D69E-41E3-B5BE-D9B124B8D7E4}" name="SO_UnitofMeasureCode"/>
    <tableColumn id="22" xr3:uid="{21867904-D69E-41E3-B5BE-D9B124B8D7E4}" name="SO_UnitPriceExcl_VAT"/>
    <tableColumn id="23" xr3:uid="{21867904-D69E-41E3-B5BE-D9B124B8D7E4}" name="SO_UnitCost"/>
    <tableColumn id="24" xr3:uid="{21867904-D69E-41E3-B5BE-D9B124B8D7E4}" name="SO_UnitCost_LCY"/>
    <tableColumn id="25" xr3:uid="{21867904-D69E-41E3-B5BE-D9B124B8D7E4}" name="SO_LineAmountExclVAT"/>
    <tableColumn id="26" xr3:uid="{21867904-D69E-41E3-B5BE-D9B124B8D7E4}" name="SO_LineAmountExclVATLCY"/>
    <tableColumn id="27" xr3:uid="{21867904-D69E-41E3-B5BE-D9B124B8D7E4}" name="SO_ShipmentDate"/>
    <tableColumn id="28" xr3:uid="{21867904-D69E-41E3-B5BE-D9B124B8D7E4}" name="SO_OutstandingQuantity"/>
    <tableColumn id="29" xr3:uid="{21867904-D69E-41E3-B5BE-D9B124B8D7E4}" name="SO_OutstandingQtyBase"/>
    <tableColumn id="30" xr3:uid="{21867904-D69E-41E3-B5BE-D9B124B8D7E4}" name="SO_Calculated"/>
    <tableColumn id="31" xr3:uid="{21867904-D69E-41E3-B5BE-D9B124B8D7E4}" name="SO_CustomerPostingGroup"/>
    <tableColumn id="32" xr3:uid="{21867904-D69E-41E3-B5BE-D9B124B8D7E4}" name="SO_ApprovedQuantity"/>
    <tableColumn id="33" xr3:uid="{21867904-D69E-41E3-B5BE-D9B124B8D7E4}" name="SO_ApprovedUnitPrice"/>
    <tableColumn id="34" xr3:uid="{21867904-D69E-41E3-B5BE-D9B124B8D7E4}" name="SO_ApprovedAmount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1D726F2-778D-4B1C-A5EA-875FED73D050}" name="SalesOrderActual" displayName="SalesOrderActual" ref="A1:X2" totalsRowShown="0" headerRowDxfId="9">
  <autoFilter ref="A1:X2" xr:uid="{41D726F2-778D-4B1C-A5EA-875FED73D050}"/>
  <tableColumns count="24">
    <tableColumn id="1" xr3:uid="{21867904-D69E-41E3-B5BE-D9B124B8D7E4}" name="ACT_ShipmentDate"/>
    <tableColumn id="2" xr3:uid="{21867904-D69E-41E3-B5BE-D9B124B8D7E4}" name="ACT_PostingDate"/>
    <tableColumn id="3" xr3:uid="{21867904-D69E-41E3-B5BE-D9B124B8D7E4}" name="ACT_DocumentDate"/>
    <tableColumn id="4" xr3:uid="{21867904-D69E-41E3-B5BE-D9B124B8D7E4}" name="ACT_No"/>
    <tableColumn id="5" xr3:uid="{21867904-D69E-41E3-B5BE-D9B124B8D7E4}" name="ACT_CustomerNo"/>
    <tableColumn id="6" xr3:uid="{21867904-D69E-41E3-B5BE-D9B124B8D7E4}" name="ACT_Customer"/>
    <tableColumn id="7" xr3:uid="{21867904-D69E-41E3-B5BE-D9B124B8D7E4}" name="ACT_OrderNo"/>
    <tableColumn id="8" xr3:uid="{21867904-D69E-41E3-B5BE-D9B124B8D7E4}" name="ACT_OEMNo"/>
    <tableColumn id="9" xr3:uid="{21867904-D69E-41E3-B5BE-D9B124B8D7E4}" name="ACT_OEMName"/>
    <tableColumn id="10" xr3:uid="{21867904-D69E-41E3-B5BE-D9B124B8D7E4}" name="ACT_CurrencyCode"/>
    <tableColumn id="11" xr3:uid="{21867904-D69E-41E3-B5BE-D9B124B8D7E4}" name="ACT_DueDate"/>
    <tableColumn id="12" xr3:uid="{21867904-D69E-41E3-B5BE-D9B124B8D7E4}" name="ACT_Amount"/>
    <tableColumn id="13" xr3:uid="{21867904-D69E-41E3-B5BE-D9B124B8D7E4}" name="ACT_AmountLCY"/>
    <tableColumn id="14" xr3:uid="{21867904-D69E-41E3-B5BE-D9B124B8D7E4}" name="ACT_AmountIncludingVAT"/>
    <tableColumn id="15" xr3:uid="{21867904-D69E-41E3-B5BE-D9B124B8D7E4}" name="ACT_ExternalDocumentNo"/>
    <tableColumn id="16" xr3:uid="{21867904-D69E-41E3-B5BE-D9B124B8D7E4}" name="ACT_RemainingAmount"/>
    <tableColumn id="17" xr3:uid="{21867904-D69E-41E3-B5BE-D9B124B8D7E4}" name="ACT_LocationCode"/>
    <tableColumn id="18" xr3:uid="{21867904-D69E-41E3-B5BE-D9B124B8D7E4}" name="ACT_PrintedNo"/>
    <tableColumn id="19" xr3:uid="{21867904-D69E-41E3-B5BE-D9B124B8D7E4}" name="ACT_Closed"/>
    <tableColumn id="20" xr3:uid="{21867904-D69E-41E3-B5BE-D9B124B8D7E4}" name="ACT_Cancelled"/>
    <tableColumn id="21" xr3:uid="{21867904-D69E-41E3-B5BE-D9B124B8D7E4}" name="ACT_Corrective"/>
    <tableColumn id="22" xr3:uid="{21867904-D69E-41E3-B5BE-D9B124B8D7E4}" name="ACT_ShipmentMethodCode"/>
    <tableColumn id="23" xr3:uid="{21867904-D69E-41E3-B5BE-D9B124B8D7E4}" name="ACT_CustomerGroupCode"/>
    <tableColumn id="24" xr3:uid="{21867904-D69E-41E3-B5BE-D9B124B8D7E4}" name="ACT_CustomerPostingGroup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1D726F2-778D-4B1C-A5EA-875FED73D050}" name="SalesOrderBalance" displayName="SalesOrderBalance" ref="A1:X2" totalsRowShown="0" headerRowDxfId="8">
  <autoFilter ref="A1:X2" xr:uid="{41D726F2-778D-4B1C-A5EA-875FED73D050}"/>
  <tableColumns count="24">
    <tableColumn id="1" xr3:uid="{21867904-D69E-41E3-B5BE-D9B124B8D7E4}" name="BAL_ShipmentDate"/>
    <tableColumn id="2" xr3:uid="{21867904-D69E-41E3-B5BE-D9B124B8D7E4}" name="BAL_PostingDate"/>
    <tableColumn id="3" xr3:uid="{21867904-D69E-41E3-B5BE-D9B124B8D7E4}" name="BAL_DocumentDate"/>
    <tableColumn id="4" xr3:uid="{21867904-D69E-41E3-B5BE-D9B124B8D7E4}" name="BAL_No"/>
    <tableColumn id="5" xr3:uid="{21867904-D69E-41E3-B5BE-D9B124B8D7E4}" name="BAL_CustomerNo"/>
    <tableColumn id="6" xr3:uid="{21867904-D69E-41E3-B5BE-D9B124B8D7E4}" name="BAL_Customer"/>
    <tableColumn id="7" xr3:uid="{21867904-D69E-41E3-B5BE-D9B124B8D7E4}" name="BAL_OrderNo"/>
    <tableColumn id="8" xr3:uid="{21867904-D69E-41E3-B5BE-D9B124B8D7E4}" name="BAL_OEMNo"/>
    <tableColumn id="9" xr3:uid="{21867904-D69E-41E3-B5BE-D9B124B8D7E4}" name="BAL_OEMName"/>
    <tableColumn id="10" xr3:uid="{21867904-D69E-41E3-B5BE-D9B124B8D7E4}" name="BAL_CurrencyCode"/>
    <tableColumn id="11" xr3:uid="{21867904-D69E-41E3-B5BE-D9B124B8D7E4}" name="BAL_DueDate"/>
    <tableColumn id="12" xr3:uid="{21867904-D69E-41E3-B5BE-D9B124B8D7E4}" name="BAL_Amount"/>
    <tableColumn id="13" xr3:uid="{21867904-D69E-41E3-B5BE-D9B124B8D7E4}" name="BAL_AmountLCY"/>
    <tableColumn id="14" xr3:uid="{21867904-D69E-41E3-B5BE-D9B124B8D7E4}" name="BAL_AmountIncludingVAT"/>
    <tableColumn id="15" xr3:uid="{21867904-D69E-41E3-B5BE-D9B124B8D7E4}" name="BAL_ExternalDocumentNo"/>
    <tableColumn id="16" xr3:uid="{21867904-D69E-41E3-B5BE-D9B124B8D7E4}" name="BAL_RemainingAmount"/>
    <tableColumn id="17" xr3:uid="{21867904-D69E-41E3-B5BE-D9B124B8D7E4}" name="BAL_LocationCode"/>
    <tableColumn id="18" xr3:uid="{21867904-D69E-41E3-B5BE-D9B124B8D7E4}" name="BAL_PrintedNo"/>
    <tableColumn id="19" xr3:uid="{21867904-D69E-41E3-B5BE-D9B124B8D7E4}" name="BAL_Closed"/>
    <tableColumn id="20" xr3:uid="{21867904-D69E-41E3-B5BE-D9B124B8D7E4}" name="BAL_Cancelled"/>
    <tableColumn id="21" xr3:uid="{21867904-D69E-41E3-B5BE-D9B124B8D7E4}" name="BAL_Corrective"/>
    <tableColumn id="22" xr3:uid="{21867904-D69E-41E3-B5BE-D9B124B8D7E4}" name="BAL_ShipmentMethodCode"/>
    <tableColumn id="23" xr3:uid="{21867904-D69E-41E3-B5BE-D9B124B8D7E4}" name="BAL_CustomerGroupCode"/>
    <tableColumn id="24" xr3:uid="{21867904-D69E-41E3-B5BE-D9B124B8D7E4}" name="BAL_CustomerPostingGroup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1D726F2-778D-4B1C-A5EA-875FED73D050}" name="CustomerSheet" displayName="CustomerSheet" ref="A1:H2" totalsRowShown="0" headerRowDxfId="7">
  <autoFilter ref="A1:H2" xr:uid="{41D726F2-778D-4B1C-A5EA-875FED73D050}"/>
  <tableColumns count="8">
    <tableColumn id="1" xr3:uid="{21867904-D69E-41E3-B5BE-D9B124B8D7E4}" name="CU_No"/>
    <tableColumn id="2" xr3:uid="{21867904-D69E-41E3-B5BE-D9B124B8D7E4}" name="CU_FamiliarName"/>
    <tableColumn id="3" xr3:uid="{21867904-D69E-41E3-B5BE-D9B124B8D7E4}" name="CU_Name"/>
    <tableColumn id="4" xr3:uid="{21867904-D69E-41E3-B5BE-D9B124B8D7E4}" name="CU_CountryRegionCode"/>
    <tableColumn id="5" xr3:uid="{21867904-D69E-41E3-B5BE-D9B124B8D7E4}" name="CU_County"/>
    <tableColumn id="6" xr3:uid="{21867904-D69E-41E3-B5BE-D9B124B8D7E4}" name="CU_CustomerPostingGroup"/>
    <tableColumn id="7" xr3:uid="{21867904-D69E-41E3-B5BE-D9B124B8D7E4}" name="CU_ShipmentMethodCode"/>
    <tableColumn id="8" xr3:uid="{21867904-D69E-41E3-B5BE-D9B124B8D7E4}" name="CU_ShippingAgentCode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1D726F2-778D-4B1C-A5EA-875FED73D050}" name="OrderSummarybyCustomer" displayName="OrderSummarybyCustomer" ref="A1:D2" totalsRowShown="0" headerRowDxfId="6">
  <autoFilter ref="A1:D2" xr:uid="{41D726F2-778D-4B1C-A5EA-875FED73D050}"/>
  <tableColumns count="4">
    <tableColumn id="1" xr3:uid="{21867904-D69E-41E3-B5BE-D9B124B8D7E4}" name="Sum_No"/>
    <tableColumn id="2" xr3:uid="{21867904-D69E-41E3-B5BE-D9B124B8D7E4}" name="Sum_Name"/>
    <tableColumn id="3" xr3:uid="{21867904-D69E-41E3-B5BE-D9B124B8D7E4}" name="Sum_ActOrdAmount"/>
    <tableColumn id="4" xr3:uid="{21867904-D69E-41E3-B5BE-D9B124B8D7E4}" name="Sum_OrdBalanc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663C-C8D4-4D1A-8BDF-B313A5705AB3}">
  <dimension ref="A1:C2"/>
  <sheetViews>
    <sheetView workbookViewId="0">
      <selection activeCell="H24" sqref="H24"/>
    </sheetView>
  </sheetViews>
  <sheetFormatPr defaultRowHeight="18" x14ac:dyDescent="0.55000000000000004"/>
  <cols>
    <col min="1" max="2" width="11.33203125" bestFit="1" customWidth="1"/>
    <col min="3" max="3" width="22.83203125" bestFit="1" customWidth="1"/>
  </cols>
  <sheetData>
    <row r="1" spans="1:3" x14ac:dyDescent="0.55000000000000004">
      <c r="A1" s="5" t="s">
        <v>64</v>
      </c>
      <c r="B1" s="5" t="s">
        <v>65</v>
      </c>
      <c r="C1" s="5" t="s">
        <v>223</v>
      </c>
    </row>
    <row r="2" spans="1:3" x14ac:dyDescent="0.55000000000000004">
      <c r="A2" s="6">
        <f>DateSheet[[#This Row],[From]]</f>
        <v>0</v>
      </c>
      <c r="B2" s="6">
        <f>DateSheet[[#This Row],[To]]</f>
        <v>0</v>
      </c>
      <c r="C2" s="6" t="str">
        <f>DateSheet[[#This Row],[CustPostGrpFilter]]</f>
        <v/>
      </c>
    </row>
  </sheetData>
  <phoneticPr fontId="2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65BDF-A7B8-4D4C-8853-4505EFD5181D}">
  <dimension ref="A1:AH2"/>
  <sheetViews>
    <sheetView workbookViewId="0">
      <selection activeCell="A3" sqref="A3"/>
    </sheetView>
  </sheetViews>
  <sheetFormatPr defaultRowHeight="18" x14ac:dyDescent="0.55000000000000004"/>
  <cols>
    <col min="1" max="1" width="14.25" bestFit="1" customWidth="1"/>
    <col min="2" max="2" width="13.1640625" bestFit="1" customWidth="1"/>
    <col min="3" max="3" width="18.83203125" bestFit="1" customWidth="1"/>
    <col min="4" max="4" width="5" bestFit="1" customWidth="1"/>
    <col min="5" max="5" width="3.9140625" bestFit="1" customWidth="1"/>
    <col min="6" max="6" width="17.1640625" bestFit="1" customWidth="1"/>
    <col min="7" max="7" width="8.5" bestFit="1" customWidth="1"/>
    <col min="8" max="8" width="5" bestFit="1" customWidth="1"/>
    <col min="9" max="10" width="8.25" bestFit="1" customWidth="1"/>
    <col min="11" max="11" width="10.4140625" style="8" bestFit="1" customWidth="1"/>
    <col min="12" max="12" width="23.1640625" style="8" bestFit="1" customWidth="1"/>
    <col min="13" max="13" width="24.33203125" style="8" bestFit="1" customWidth="1"/>
    <col min="14" max="14" width="10.6640625" bestFit="1" customWidth="1"/>
    <col min="15" max="15" width="18.08203125" bestFit="1" customWidth="1"/>
    <col min="16" max="16" width="12.9140625" bestFit="1" customWidth="1"/>
    <col min="17" max="17" width="7.75" bestFit="1" customWidth="1"/>
    <col min="18" max="18" width="8.25" bestFit="1" customWidth="1"/>
    <col min="19" max="19" width="18.83203125" bestFit="1" customWidth="1"/>
    <col min="20" max="20" width="13.4140625" bestFit="1" customWidth="1"/>
    <col min="21" max="21" width="19.4140625" bestFit="1" customWidth="1"/>
    <col min="22" max="22" width="17.4140625" bestFit="1" customWidth="1"/>
    <col min="23" max="23" width="8.5" bestFit="1" customWidth="1"/>
    <col min="24" max="24" width="13.33203125" bestFit="1" customWidth="1"/>
    <col min="25" max="25" width="20" bestFit="1" customWidth="1"/>
    <col min="26" max="26" width="24.9140625" bestFit="1" customWidth="1"/>
    <col min="27" max="27" width="13.6640625" style="8" bestFit="1" customWidth="1"/>
    <col min="28" max="28" width="19.33203125" bestFit="1" customWidth="1"/>
    <col min="29" max="29" width="21.33203125" bestFit="1" customWidth="1"/>
    <col min="30" max="30" width="5.83203125" bestFit="1" customWidth="1"/>
    <col min="31" max="31" width="21.83203125" bestFit="1" customWidth="1"/>
  </cols>
  <sheetData>
    <row r="1" spans="1:34" x14ac:dyDescent="0.55000000000000004">
      <c r="A1" s="7" t="s">
        <v>163</v>
      </c>
      <c r="B1" s="7" t="s">
        <v>164</v>
      </c>
      <c r="C1" s="7" t="s">
        <v>165</v>
      </c>
      <c r="D1" s="7" t="s">
        <v>166</v>
      </c>
      <c r="E1" s="7" t="s">
        <v>167</v>
      </c>
      <c r="F1" s="7" t="s">
        <v>168</v>
      </c>
      <c r="G1" s="7" t="s">
        <v>169</v>
      </c>
      <c r="H1" s="7" t="s">
        <v>170</v>
      </c>
      <c r="I1" s="7" t="s">
        <v>171</v>
      </c>
      <c r="J1" s="7" t="s">
        <v>172</v>
      </c>
      <c r="K1" s="7" t="s">
        <v>173</v>
      </c>
      <c r="L1" s="7" t="s">
        <v>174</v>
      </c>
      <c r="M1" s="7" t="s">
        <v>175</v>
      </c>
      <c r="N1" s="7" t="s">
        <v>176</v>
      </c>
      <c r="O1" s="7" t="s">
        <v>177</v>
      </c>
      <c r="P1" s="7" t="s">
        <v>178</v>
      </c>
      <c r="Q1" s="7" t="s">
        <v>179</v>
      </c>
      <c r="R1" s="7" t="s">
        <v>180</v>
      </c>
      <c r="S1" s="7" t="s">
        <v>181</v>
      </c>
      <c r="T1" s="7" t="s">
        <v>182</v>
      </c>
      <c r="U1" s="7" t="s">
        <v>183</v>
      </c>
      <c r="V1" s="7" t="s">
        <v>184</v>
      </c>
      <c r="W1" s="7" t="s">
        <v>185</v>
      </c>
      <c r="X1" s="7" t="s">
        <v>186</v>
      </c>
      <c r="Y1" s="7" t="s">
        <v>187</v>
      </c>
      <c r="Z1" s="7" t="s">
        <v>188</v>
      </c>
      <c r="AA1" s="7" t="s">
        <v>189</v>
      </c>
      <c r="AB1" s="7" t="s">
        <v>190</v>
      </c>
      <c r="AC1" s="7" t="s">
        <v>191</v>
      </c>
      <c r="AD1" s="7" t="s">
        <v>192</v>
      </c>
      <c r="AE1" s="7" t="s">
        <v>193</v>
      </c>
      <c r="AF1" s="7" t="s">
        <v>194</v>
      </c>
      <c r="AG1" s="7" t="s">
        <v>195</v>
      </c>
      <c r="AH1" s="7" t="s">
        <v>196</v>
      </c>
    </row>
    <row r="2" spans="1:34" x14ac:dyDescent="0.55000000000000004">
      <c r="A2" t="str" cm="1">
        <f t="array" ref="A2:AH2">RemainingSalesOrder[#Data]</f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s="8">
        <v>0</v>
      </c>
      <c r="L2" s="8">
        <v>0</v>
      </c>
      <c r="M2" s="8">
        <v>0</v>
      </c>
      <c r="N2" t="str">
        <v/>
      </c>
      <c r="O2" t="str">
        <v/>
      </c>
      <c r="P2" t="str">
        <v/>
      </c>
      <c r="Q2" t="str">
        <v/>
      </c>
      <c r="R2">
        <v>0</v>
      </c>
      <c r="S2">
        <v>0</v>
      </c>
      <c r="T2" t="str">
        <v>False</v>
      </c>
      <c r="U2" t="str">
        <v/>
      </c>
      <c r="V2">
        <v>0</v>
      </c>
      <c r="W2">
        <v>0</v>
      </c>
      <c r="X2">
        <v>0</v>
      </c>
      <c r="Y2">
        <v>0</v>
      </c>
      <c r="Z2">
        <v>0</v>
      </c>
      <c r="AA2" s="8">
        <v>0</v>
      </c>
      <c r="AB2">
        <v>0</v>
      </c>
      <c r="AC2">
        <v>0</v>
      </c>
      <c r="AD2">
        <v>0</v>
      </c>
      <c r="AE2" t="str">
        <v/>
      </c>
      <c r="AF2">
        <v>0</v>
      </c>
      <c r="AG2">
        <v>0</v>
      </c>
      <c r="AH2">
        <v>0</v>
      </c>
    </row>
  </sheetData>
  <phoneticPr fontId="2"/>
  <conditionalFormatting sqref="A2:XFD1048576">
    <cfRule type="expression" dxfId="5" priority="1">
      <formula>AND(MOD(ROW(),2)=0, $A2&lt;&gt;"", A$1&lt;&gt;"")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428D0-B942-47B5-9F5D-93EB92F0047F}">
  <dimension ref="A1:X2"/>
  <sheetViews>
    <sheetView workbookViewId="0">
      <selection activeCell="A3" sqref="A3"/>
    </sheetView>
  </sheetViews>
  <sheetFormatPr defaultRowHeight="18" x14ac:dyDescent="0.55000000000000004"/>
  <cols>
    <col min="1" max="1" width="13.6640625" style="8" bestFit="1" customWidth="1"/>
    <col min="2" max="2" width="11.5" style="8" bestFit="1" customWidth="1"/>
    <col min="3" max="3" width="14.1640625" style="8" bestFit="1" customWidth="1"/>
    <col min="4" max="4" width="3.9140625" bestFit="1" customWidth="1"/>
    <col min="5" max="5" width="12.6640625" bestFit="1" customWidth="1"/>
    <col min="6" max="6" width="9.08203125" bestFit="1" customWidth="1"/>
    <col min="7" max="7" width="9.25" bestFit="1" customWidth="1"/>
    <col min="8" max="8" width="8.25" bestFit="1" customWidth="1"/>
    <col min="9" max="9" width="10.33203125" bestFit="1" customWidth="1"/>
    <col min="10" max="10" width="13.33203125" bestFit="1" customWidth="1"/>
    <col min="11" max="11" width="10.4140625" style="8" bestFit="1" customWidth="1"/>
    <col min="12" max="12" width="7.75" bestFit="1" customWidth="1"/>
    <col min="13" max="13" width="11" bestFit="1" customWidth="1"/>
    <col min="14" max="14" width="20" bestFit="1" customWidth="1"/>
    <col min="15" max="15" width="20.83203125" bestFit="1" customWidth="1"/>
    <col min="16" max="16" width="17.4140625" bestFit="1" customWidth="1"/>
    <col min="17" max="17" width="12.9140625" bestFit="1" customWidth="1"/>
    <col min="18" max="18" width="10.6640625" bestFit="1" customWidth="1"/>
    <col min="19" max="19" width="6.6640625" bestFit="1" customWidth="1"/>
    <col min="20" max="20" width="9.25" bestFit="1" customWidth="1"/>
    <col min="21" max="21" width="9.6640625" bestFit="1" customWidth="1"/>
    <col min="22" max="22" width="21.33203125" bestFit="1" customWidth="1"/>
    <col min="23" max="23" width="19.4140625" bestFit="1" customWidth="1"/>
    <col min="24" max="24" width="21.83203125" bestFit="1" customWidth="1"/>
  </cols>
  <sheetData>
    <row r="1" spans="1:24" x14ac:dyDescent="0.55000000000000004">
      <c r="A1" s="7" t="s">
        <v>189</v>
      </c>
      <c r="B1" s="7" t="s">
        <v>197</v>
      </c>
      <c r="C1" s="7" t="s">
        <v>198</v>
      </c>
      <c r="D1" s="7" t="s">
        <v>167</v>
      </c>
      <c r="E1" s="7" t="s">
        <v>199</v>
      </c>
      <c r="F1" s="7" t="s">
        <v>200</v>
      </c>
      <c r="G1" s="7" t="s">
        <v>201</v>
      </c>
      <c r="H1" s="7" t="s">
        <v>172</v>
      </c>
      <c r="I1" s="7" t="s">
        <v>202</v>
      </c>
      <c r="J1" s="7" t="s">
        <v>203</v>
      </c>
      <c r="K1" s="7" t="s">
        <v>204</v>
      </c>
      <c r="L1" s="7" t="s">
        <v>205</v>
      </c>
      <c r="M1" s="7" t="s">
        <v>206</v>
      </c>
      <c r="N1" s="7" t="s">
        <v>207</v>
      </c>
      <c r="O1" s="7" t="s">
        <v>208</v>
      </c>
      <c r="P1" s="7" t="s">
        <v>209</v>
      </c>
      <c r="Q1" s="7" t="s">
        <v>178</v>
      </c>
      <c r="R1" s="7" t="s">
        <v>210</v>
      </c>
      <c r="S1" s="7" t="s">
        <v>211</v>
      </c>
      <c r="T1" s="7" t="s">
        <v>212</v>
      </c>
      <c r="U1" s="7" t="s">
        <v>213</v>
      </c>
      <c r="V1" s="7" t="s">
        <v>214</v>
      </c>
      <c r="W1" s="7" t="s">
        <v>215</v>
      </c>
      <c r="X1" s="7" t="s">
        <v>193</v>
      </c>
    </row>
    <row r="2" spans="1:24" x14ac:dyDescent="0.55000000000000004">
      <c r="A2" s="8" cm="1">
        <f t="array" ref="A2:X2">SalesOrderActual[#Data]</f>
        <v>0</v>
      </c>
      <c r="B2" s="8">
        <v>0</v>
      </c>
      <c r="C2" s="8">
        <v>0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s="8">
        <v>0</v>
      </c>
      <c r="L2">
        <v>0</v>
      </c>
      <c r="M2">
        <v>0</v>
      </c>
      <c r="N2">
        <v>0</v>
      </c>
      <c r="O2" t="str">
        <v/>
      </c>
      <c r="P2">
        <v>0</v>
      </c>
      <c r="Q2" t="str">
        <v/>
      </c>
      <c r="R2">
        <v>0</v>
      </c>
      <c r="S2" t="str">
        <v>False</v>
      </c>
      <c r="T2" t="str">
        <v>False</v>
      </c>
      <c r="U2" t="str">
        <v>False</v>
      </c>
      <c r="V2" t="str">
        <v/>
      </c>
      <c r="W2" t="str">
        <v/>
      </c>
      <c r="X2" t="str">
        <v/>
      </c>
    </row>
  </sheetData>
  <phoneticPr fontId="2"/>
  <conditionalFormatting sqref="A2:XFD1048576">
    <cfRule type="expression" dxfId="4" priority="1">
      <formula>AND(MOD(ROW(),2)=0, $A2&lt;&gt;"", A$1&lt;&gt;"")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7AD0-3996-4582-818A-70AB431AAF08}">
  <dimension ref="A1:X2"/>
  <sheetViews>
    <sheetView workbookViewId="0">
      <selection activeCell="A3" sqref="A3"/>
    </sheetView>
  </sheetViews>
  <sheetFormatPr defaultColWidth="8" defaultRowHeight="18" x14ac:dyDescent="0.55000000000000004"/>
  <cols>
    <col min="1" max="1" width="13.6640625" style="8" bestFit="1" customWidth="1"/>
    <col min="2" max="2" width="11.5" style="8" bestFit="1" customWidth="1"/>
    <col min="3" max="3" width="14.1640625" style="8" bestFit="1" customWidth="1"/>
    <col min="4" max="4" width="3.9140625" bestFit="1" customWidth="1"/>
    <col min="5" max="5" width="12.6640625" bestFit="1" customWidth="1"/>
    <col min="6" max="6" width="9.08203125" bestFit="1" customWidth="1"/>
    <col min="7" max="7" width="9.25" bestFit="1" customWidth="1"/>
    <col min="8" max="8" width="8.25" bestFit="1" customWidth="1"/>
    <col min="9" max="9" width="10.33203125" bestFit="1" customWidth="1"/>
    <col min="10" max="10" width="13.33203125" bestFit="1" customWidth="1"/>
    <col min="11" max="11" width="10.4140625" style="8" bestFit="1" customWidth="1"/>
    <col min="12" max="12" width="7.75" bestFit="1" customWidth="1"/>
    <col min="13" max="13" width="11" bestFit="1" customWidth="1"/>
    <col min="14" max="14" width="20" bestFit="1" customWidth="1"/>
    <col min="15" max="15" width="20.83203125" bestFit="1" customWidth="1"/>
    <col min="16" max="16" width="17.4140625" bestFit="1" customWidth="1"/>
    <col min="17" max="17" width="12.9140625" bestFit="1" customWidth="1"/>
    <col min="18" max="18" width="10.6640625" bestFit="1" customWidth="1"/>
    <col min="19" max="19" width="6.6640625" bestFit="1" customWidth="1"/>
    <col min="20" max="20" width="9.25" bestFit="1" customWidth="1"/>
    <col min="21" max="21" width="9.6640625" bestFit="1" customWidth="1"/>
    <col min="22" max="22" width="21.33203125" bestFit="1" customWidth="1"/>
    <col min="23" max="23" width="19.4140625" bestFit="1" customWidth="1"/>
    <col min="24" max="24" width="21.83203125" bestFit="1" customWidth="1"/>
  </cols>
  <sheetData>
    <row r="1" spans="1:24" x14ac:dyDescent="0.55000000000000004">
      <c r="A1" s="7" t="s">
        <v>189</v>
      </c>
      <c r="B1" s="7" t="s">
        <v>197</v>
      </c>
      <c r="C1" s="7" t="s">
        <v>198</v>
      </c>
      <c r="D1" s="7" t="s">
        <v>167</v>
      </c>
      <c r="E1" s="7" t="s">
        <v>199</v>
      </c>
      <c r="F1" s="7" t="s">
        <v>200</v>
      </c>
      <c r="G1" s="7" t="s">
        <v>201</v>
      </c>
      <c r="H1" s="7" t="s">
        <v>172</v>
      </c>
      <c r="I1" s="7" t="s">
        <v>202</v>
      </c>
      <c r="J1" s="7" t="s">
        <v>203</v>
      </c>
      <c r="K1" s="7" t="s">
        <v>204</v>
      </c>
      <c r="L1" s="7" t="s">
        <v>205</v>
      </c>
      <c r="M1" s="7" t="s">
        <v>206</v>
      </c>
      <c r="N1" s="7" t="s">
        <v>207</v>
      </c>
      <c r="O1" s="7" t="s">
        <v>208</v>
      </c>
      <c r="P1" s="7" t="s">
        <v>209</v>
      </c>
      <c r="Q1" s="7" t="s">
        <v>178</v>
      </c>
      <c r="R1" s="7" t="s">
        <v>210</v>
      </c>
      <c r="S1" s="7" t="s">
        <v>211</v>
      </c>
      <c r="T1" s="7" t="s">
        <v>212</v>
      </c>
      <c r="U1" s="7" t="s">
        <v>213</v>
      </c>
      <c r="V1" s="7" t="s">
        <v>214</v>
      </c>
      <c r="W1" s="7" t="s">
        <v>215</v>
      </c>
      <c r="X1" s="7" t="s">
        <v>193</v>
      </c>
    </row>
    <row r="2" spans="1:24" x14ac:dyDescent="0.55000000000000004">
      <c r="A2" s="8" cm="1">
        <f t="array" ref="A2:X2">SalesOrderBalance[#Data]</f>
        <v>0</v>
      </c>
      <c r="B2" s="8">
        <v>0</v>
      </c>
      <c r="C2" s="8">
        <v>0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s="8">
        <v>0</v>
      </c>
      <c r="L2">
        <v>0</v>
      </c>
      <c r="M2">
        <v>0</v>
      </c>
      <c r="N2">
        <v>0</v>
      </c>
      <c r="O2" t="str">
        <v/>
      </c>
      <c r="P2">
        <v>0</v>
      </c>
      <c r="Q2" t="str">
        <v/>
      </c>
      <c r="R2">
        <v>0</v>
      </c>
      <c r="S2" t="str">
        <v>False</v>
      </c>
      <c r="T2" t="str">
        <v>False</v>
      </c>
      <c r="U2" t="str">
        <v>False</v>
      </c>
      <c r="V2" t="str">
        <v/>
      </c>
      <c r="W2" t="str">
        <v/>
      </c>
      <c r="X2" t="str">
        <v/>
      </c>
    </row>
  </sheetData>
  <phoneticPr fontId="2"/>
  <conditionalFormatting sqref="A2:XFD1048576">
    <cfRule type="expression" dxfId="3" priority="1">
      <formula>AND(MOD(ROW(),2)=0, $A2&lt;&gt;"", A$1&lt;&gt;"")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4A507-15D8-4D80-BC26-7A322F37000C}">
  <dimension ref="A1:H2"/>
  <sheetViews>
    <sheetView workbookViewId="0">
      <selection activeCell="A2" sqref="A2"/>
    </sheetView>
  </sheetViews>
  <sheetFormatPr defaultRowHeight="18" x14ac:dyDescent="0.55000000000000004"/>
  <cols>
    <col min="1" max="1" width="3.9140625" bestFit="1" customWidth="1"/>
    <col min="2" max="2" width="13.33203125" bestFit="1" customWidth="1"/>
    <col min="3" max="3" width="6" bestFit="1" customWidth="1"/>
    <col min="4" max="4" width="19.33203125" bestFit="1" customWidth="1"/>
    <col min="5" max="5" width="6.9140625" bestFit="1" customWidth="1"/>
    <col min="6" max="6" width="21.83203125" bestFit="1" customWidth="1"/>
    <col min="7" max="7" width="21.33203125" bestFit="1" customWidth="1"/>
    <col min="8" max="8" width="18.83203125" bestFit="1" customWidth="1"/>
  </cols>
  <sheetData>
    <row r="1" spans="1:8" x14ac:dyDescent="0.55000000000000004">
      <c r="A1" s="7" t="s">
        <v>167</v>
      </c>
      <c r="B1" s="7" t="s">
        <v>216</v>
      </c>
      <c r="C1" s="7" t="s">
        <v>217</v>
      </c>
      <c r="D1" s="7" t="s">
        <v>218</v>
      </c>
      <c r="E1" s="7" t="s">
        <v>219</v>
      </c>
      <c r="F1" s="7" t="s">
        <v>193</v>
      </c>
      <c r="G1" s="7" t="s">
        <v>214</v>
      </c>
      <c r="H1" s="7" t="s">
        <v>220</v>
      </c>
    </row>
    <row r="2" spans="1:8" x14ac:dyDescent="0.55000000000000004">
      <c r="A2" t="str" cm="1">
        <f t="array" ref="A2:H2">CustomerSheet[#Data]</f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</sheetData>
  <phoneticPr fontId="2"/>
  <conditionalFormatting sqref="A2:XFD1048576">
    <cfRule type="expression" dxfId="2" priority="1">
      <formula>AND(MOD(ROW(),2)=0, $A2&lt;&gt;"", A$1&lt;&gt;"")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58BB-6DBE-4223-AA55-988AF8F2F52F}">
  <dimension ref="A1:D2"/>
  <sheetViews>
    <sheetView tabSelected="1" workbookViewId="0">
      <selection activeCell="D12" sqref="D12"/>
    </sheetView>
  </sheetViews>
  <sheetFormatPr defaultRowHeight="18" x14ac:dyDescent="0.55000000000000004"/>
  <cols>
    <col min="2" max="2" width="6.08203125" bestFit="1" customWidth="1"/>
    <col min="3" max="3" width="19.5" bestFit="1" customWidth="1"/>
    <col min="4" max="4" width="13.4140625" bestFit="1" customWidth="1"/>
  </cols>
  <sheetData>
    <row r="1" spans="1:4" x14ac:dyDescent="0.55000000000000004">
      <c r="A1" s="7" t="s">
        <v>167</v>
      </c>
      <c r="B1" s="7" t="s">
        <v>217</v>
      </c>
      <c r="C1" s="7" t="s">
        <v>221</v>
      </c>
      <c r="D1" s="7" t="s">
        <v>222</v>
      </c>
    </row>
    <row r="2" spans="1:4" x14ac:dyDescent="0.55000000000000004">
      <c r="A2" t="str" cm="1">
        <f t="array" ref="A2:D2">OrderSummarybyCustomer[#Data]</f>
        <v/>
      </c>
      <c r="B2" t="str">
        <v/>
      </c>
      <c r="C2">
        <v>0</v>
      </c>
      <c r="D2">
        <v>0</v>
      </c>
    </row>
  </sheetData>
  <phoneticPr fontId="2"/>
  <conditionalFormatting sqref="A2:XFD1048576">
    <cfRule type="expression" dxfId="1" priority="1">
      <formula>AND(MOD(ROW(),2)=0, $A2&lt;&gt;"", A$1&lt;&gt;"")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C5B5-835D-4709-9822-BD56B4DD3EE2}">
  <dimension ref="A1:C1"/>
  <sheetViews>
    <sheetView workbookViewId="0">
      <selection activeCell="P27" sqref="P27"/>
    </sheetView>
  </sheetViews>
  <sheetFormatPr defaultRowHeight="18" x14ac:dyDescent="0.55000000000000004"/>
  <cols>
    <col min="1" max="1" width="17" bestFit="1" customWidth="1"/>
    <col min="2" max="2" width="11.4140625" customWidth="1"/>
  </cols>
  <sheetData>
    <row r="1" spans="1:3" x14ac:dyDescent="0.55000000000000004">
      <c r="A1" t="s">
        <v>2</v>
      </c>
      <c r="B1" t="s">
        <v>0</v>
      </c>
      <c r="C1" t="s">
        <v>1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E4FCE-0E93-4DED-82D7-5F91E270A9CE}">
  <dimension ref="A1:B2"/>
  <sheetViews>
    <sheetView workbookViewId="0">
      <selection activeCell="P27" sqref="P27"/>
    </sheetView>
  </sheetViews>
  <sheetFormatPr defaultRowHeight="18" x14ac:dyDescent="0.55000000000000004"/>
  <cols>
    <col min="1" max="1" width="10.1640625" bestFit="1" customWidth="1"/>
    <col min="2" max="2" width="17.4140625" customWidth="1"/>
  </cols>
  <sheetData>
    <row r="1" spans="1:2" x14ac:dyDescent="0.55000000000000004">
      <c r="A1" t="s">
        <v>3</v>
      </c>
      <c r="B1" t="s">
        <v>1</v>
      </c>
    </row>
    <row r="2" spans="1:2" x14ac:dyDescent="0.55000000000000004">
      <c r="A2" t="s">
        <v>2</v>
      </c>
      <c r="B2" t="s">
        <v>47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A0A2-2C54-45E0-8D25-6A8565D8270F}">
  <dimension ref="A1:K17"/>
  <sheetViews>
    <sheetView workbookViewId="0">
      <selection activeCell="P27" sqref="P27"/>
    </sheetView>
  </sheetViews>
  <sheetFormatPr defaultRowHeight="18" x14ac:dyDescent="0.55000000000000004"/>
  <cols>
    <col min="1" max="1" width="25.75" customWidth="1"/>
    <col min="2" max="2" width="40.75" customWidth="1"/>
    <col min="3" max="3" width="5.75" customWidth="1"/>
    <col min="4" max="4" width="25.75" customWidth="1"/>
    <col min="5" max="5" width="40.75" customWidth="1"/>
    <col min="6" max="6" width="5.75" customWidth="1"/>
    <col min="7" max="7" width="25.75" customWidth="1"/>
    <col min="8" max="8" width="40.75" customWidth="1"/>
    <col min="9" max="9" width="5.75" customWidth="1"/>
    <col min="10" max="10" width="40.75" customWidth="1"/>
    <col min="11" max="11" width="25.75" customWidth="1"/>
  </cols>
  <sheetData>
    <row r="1" spans="1:11" x14ac:dyDescent="0.55000000000000004">
      <c r="A1" s="1" t="s">
        <v>6</v>
      </c>
      <c r="B1" s="1" t="s">
        <v>7</v>
      </c>
      <c r="D1" s="1" t="s">
        <v>26</v>
      </c>
      <c r="E1" s="1" t="s">
        <v>27</v>
      </c>
      <c r="G1" s="1" t="s">
        <v>4</v>
      </c>
      <c r="H1" s="1" t="s">
        <v>5</v>
      </c>
      <c r="J1" s="1" t="s">
        <v>45</v>
      </c>
      <c r="K1" s="1" t="s">
        <v>46</v>
      </c>
    </row>
    <row r="2" spans="1:11" x14ac:dyDescent="0.55000000000000004">
      <c r="A2" t="s">
        <v>8</v>
      </c>
      <c r="B2" t="s">
        <v>9</v>
      </c>
      <c r="D2" t="s">
        <v>48</v>
      </c>
      <c r="E2" t="s">
        <v>49</v>
      </c>
      <c r="G2" t="s">
        <v>4</v>
      </c>
      <c r="H2" t="s">
        <v>5</v>
      </c>
      <c r="J2" t="s">
        <v>45</v>
      </c>
      <c r="K2" t="s">
        <v>46</v>
      </c>
    </row>
    <row r="3" spans="1:11" x14ac:dyDescent="0.55000000000000004">
      <c r="A3" t="s">
        <v>10</v>
      </c>
      <c r="B3" t="s">
        <v>11</v>
      </c>
      <c r="D3" t="s">
        <v>28</v>
      </c>
      <c r="E3" t="s">
        <v>29</v>
      </c>
    </row>
    <row r="4" spans="1:11" x14ac:dyDescent="0.55000000000000004">
      <c r="A4" t="s">
        <v>12</v>
      </c>
      <c r="B4" t="s">
        <v>13</v>
      </c>
      <c r="D4" t="s">
        <v>30</v>
      </c>
      <c r="E4" t="s">
        <v>31</v>
      </c>
    </row>
    <row r="5" spans="1:11" x14ac:dyDescent="0.55000000000000004">
      <c r="A5" t="s">
        <v>14</v>
      </c>
      <c r="B5" t="s">
        <v>15</v>
      </c>
      <c r="D5" t="s">
        <v>32</v>
      </c>
      <c r="E5" t="s">
        <v>33</v>
      </c>
    </row>
    <row r="6" spans="1:11" x14ac:dyDescent="0.55000000000000004">
      <c r="A6" t="s">
        <v>16</v>
      </c>
      <c r="B6" t="s">
        <v>17</v>
      </c>
      <c r="D6" t="s">
        <v>34</v>
      </c>
      <c r="E6" t="s">
        <v>35</v>
      </c>
    </row>
    <row r="7" spans="1:11" x14ac:dyDescent="0.55000000000000004">
      <c r="A7" t="s">
        <v>18</v>
      </c>
      <c r="B7" t="s">
        <v>19</v>
      </c>
      <c r="D7" t="s">
        <v>50</v>
      </c>
      <c r="E7" t="s">
        <v>51</v>
      </c>
    </row>
    <row r="8" spans="1:11" x14ac:dyDescent="0.55000000000000004">
      <c r="A8" t="s">
        <v>58</v>
      </c>
      <c r="B8" t="s">
        <v>59</v>
      </c>
      <c r="D8" t="s">
        <v>36</v>
      </c>
      <c r="E8" t="s">
        <v>37</v>
      </c>
    </row>
    <row r="9" spans="1:11" x14ac:dyDescent="0.55000000000000004">
      <c r="A9" t="s">
        <v>20</v>
      </c>
      <c r="B9" t="s">
        <v>21</v>
      </c>
      <c r="D9" t="s">
        <v>38</v>
      </c>
      <c r="E9" t="s">
        <v>39</v>
      </c>
    </row>
    <row r="10" spans="1:11" x14ac:dyDescent="0.55000000000000004">
      <c r="A10" t="s">
        <v>22</v>
      </c>
      <c r="B10" t="s">
        <v>23</v>
      </c>
      <c r="D10" t="s">
        <v>40</v>
      </c>
      <c r="E10" t="s">
        <v>41</v>
      </c>
    </row>
    <row r="11" spans="1:11" x14ac:dyDescent="0.55000000000000004">
      <c r="A11" t="s">
        <v>24</v>
      </c>
      <c r="B11" t="s">
        <v>25</v>
      </c>
      <c r="D11" t="s">
        <v>60</v>
      </c>
      <c r="E11" t="s">
        <v>61</v>
      </c>
    </row>
    <row r="12" spans="1:11" x14ac:dyDescent="0.55000000000000004">
      <c r="D12" t="s">
        <v>62</v>
      </c>
      <c r="E12" t="s">
        <v>63</v>
      </c>
    </row>
    <row r="13" spans="1:11" x14ac:dyDescent="0.55000000000000004">
      <c r="D13" t="s">
        <v>0</v>
      </c>
      <c r="E13" t="s">
        <v>42</v>
      </c>
    </row>
    <row r="14" spans="1:11" x14ac:dyDescent="0.55000000000000004">
      <c r="D14" t="s">
        <v>43</v>
      </c>
      <c r="E14" t="s">
        <v>44</v>
      </c>
    </row>
    <row r="15" spans="1:11" x14ac:dyDescent="0.55000000000000004">
      <c r="D15" t="s">
        <v>52</v>
      </c>
      <c r="E15" t="s">
        <v>53</v>
      </c>
    </row>
    <row r="16" spans="1:11" x14ac:dyDescent="0.55000000000000004">
      <c r="D16" t="s">
        <v>54</v>
      </c>
      <c r="E16" t="s">
        <v>55</v>
      </c>
    </row>
    <row r="17" spans="4:5" x14ac:dyDescent="0.55000000000000004">
      <c r="D17" t="s">
        <v>56</v>
      </c>
      <c r="E17" t="s">
        <v>57</v>
      </c>
    </row>
  </sheetData>
  <phoneticPr fontId="2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1F2F-74E0-45C1-906B-77595ED60E81}">
  <dimension ref="A1:C2"/>
  <sheetViews>
    <sheetView workbookViewId="0">
      <selection activeCell="P27" sqref="P27"/>
    </sheetView>
  </sheetViews>
  <sheetFormatPr defaultRowHeight="18" x14ac:dyDescent="0.55000000000000004"/>
  <cols>
    <col min="1" max="1" width="18.4140625" bestFit="1" customWidth="1"/>
    <col min="3" max="3" width="29.08203125" customWidth="1"/>
  </cols>
  <sheetData>
    <row r="1" spans="1:3" x14ac:dyDescent="0.55000000000000004">
      <c r="A1" t="s">
        <v>64</v>
      </c>
      <c r="B1" t="s">
        <v>65</v>
      </c>
      <c r="C1" t="s">
        <v>66</v>
      </c>
    </row>
    <row r="2" spans="1:3" x14ac:dyDescent="0.55000000000000004">
      <c r="A2" s="2">
        <v>0</v>
      </c>
      <c r="B2" s="2">
        <v>0</v>
      </c>
      <c r="C2" t="s">
        <v>67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C914-4D47-4A04-9E35-DFDFDA0D8DD0}">
  <dimension ref="A1:AH2"/>
  <sheetViews>
    <sheetView workbookViewId="0">
      <selection activeCell="P27" sqref="P27"/>
    </sheetView>
  </sheetViews>
  <sheetFormatPr defaultRowHeight="18" x14ac:dyDescent="0.55000000000000004"/>
  <cols>
    <col min="1" max="1" width="18.4140625" bestFit="1" customWidth="1"/>
  </cols>
  <sheetData>
    <row r="1" spans="1:34" x14ac:dyDescent="0.55000000000000004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</row>
    <row r="2" spans="1:34" x14ac:dyDescent="0.55000000000000004">
      <c r="A2" t="s">
        <v>67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  <c r="H2" t="s">
        <v>67</v>
      </c>
      <c r="I2" t="s">
        <v>67</v>
      </c>
      <c r="J2" t="s">
        <v>67</v>
      </c>
      <c r="K2" s="2">
        <v>0</v>
      </c>
      <c r="L2" s="2">
        <v>0</v>
      </c>
      <c r="M2" s="2">
        <v>0</v>
      </c>
      <c r="N2" t="s">
        <v>67</v>
      </c>
      <c r="O2" t="s">
        <v>67</v>
      </c>
      <c r="P2" t="s">
        <v>67</v>
      </c>
      <c r="Q2" t="s">
        <v>67</v>
      </c>
      <c r="R2" s="3">
        <v>0</v>
      </c>
      <c r="S2" s="3">
        <v>0</v>
      </c>
      <c r="T2" t="s">
        <v>102</v>
      </c>
      <c r="U2" t="s">
        <v>67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2">
        <v>0</v>
      </c>
      <c r="AB2" s="3">
        <v>0</v>
      </c>
      <c r="AC2" s="3">
        <v>0</v>
      </c>
      <c r="AD2" s="3">
        <v>0</v>
      </c>
      <c r="AE2" t="s">
        <v>67</v>
      </c>
      <c r="AF2" s="3">
        <v>0</v>
      </c>
      <c r="AG2" s="3">
        <v>0</v>
      </c>
      <c r="AH2" s="3">
        <v>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3C6D6-5D17-40A3-BB33-4E9BDCE20C67}">
  <dimension ref="A1:X2"/>
  <sheetViews>
    <sheetView workbookViewId="0">
      <selection activeCell="P27" sqref="P27"/>
    </sheetView>
  </sheetViews>
  <sheetFormatPr defaultRowHeight="18" x14ac:dyDescent="0.55000000000000004"/>
  <cols>
    <col min="1" max="1" width="18.4140625" bestFit="1" customWidth="1"/>
  </cols>
  <sheetData>
    <row r="1" spans="1:24" x14ac:dyDescent="0.55000000000000004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</row>
    <row r="2" spans="1:24" x14ac:dyDescent="0.55000000000000004">
      <c r="A2" s="2">
        <v>0</v>
      </c>
      <c r="B2" s="2">
        <v>0</v>
      </c>
      <c r="C2" s="2">
        <v>0</v>
      </c>
      <c r="D2" t="s">
        <v>67</v>
      </c>
      <c r="E2" t="s">
        <v>67</v>
      </c>
      <c r="F2" t="s">
        <v>67</v>
      </c>
      <c r="G2" t="s">
        <v>67</v>
      </c>
      <c r="H2" t="s">
        <v>67</v>
      </c>
      <c r="I2" t="s">
        <v>67</v>
      </c>
      <c r="J2" t="s">
        <v>67</v>
      </c>
      <c r="K2" s="2">
        <v>0</v>
      </c>
      <c r="L2" s="3">
        <v>0</v>
      </c>
      <c r="M2" s="3">
        <v>0</v>
      </c>
      <c r="N2" s="3">
        <v>0</v>
      </c>
      <c r="O2" t="s">
        <v>67</v>
      </c>
      <c r="P2" s="3">
        <v>0</v>
      </c>
      <c r="Q2" t="s">
        <v>67</v>
      </c>
      <c r="R2" s="4">
        <v>0</v>
      </c>
      <c r="S2" t="s">
        <v>102</v>
      </c>
      <c r="T2" t="s">
        <v>102</v>
      </c>
      <c r="U2" t="s">
        <v>102</v>
      </c>
      <c r="V2" t="s">
        <v>67</v>
      </c>
      <c r="W2" t="s">
        <v>67</v>
      </c>
      <c r="X2" t="s">
        <v>67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F979F-0B9A-4578-A85F-2D7B01C74680}">
  <dimension ref="A1:X2"/>
  <sheetViews>
    <sheetView workbookViewId="0">
      <selection activeCell="P27" sqref="P27"/>
    </sheetView>
  </sheetViews>
  <sheetFormatPr defaultRowHeight="18" x14ac:dyDescent="0.55000000000000004"/>
  <cols>
    <col min="1" max="1" width="18.4140625" bestFit="1" customWidth="1"/>
  </cols>
  <sheetData>
    <row r="1" spans="1:24" x14ac:dyDescent="0.55000000000000004">
      <c r="A1" t="s">
        <v>127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  <c r="L1" t="s">
        <v>138</v>
      </c>
      <c r="M1" t="s">
        <v>139</v>
      </c>
      <c r="N1" t="s">
        <v>140</v>
      </c>
      <c r="O1" t="s">
        <v>141</v>
      </c>
      <c r="P1" t="s">
        <v>142</v>
      </c>
      <c r="Q1" t="s">
        <v>143</v>
      </c>
      <c r="R1" t="s">
        <v>144</v>
      </c>
      <c r="S1" t="s">
        <v>145</v>
      </c>
      <c r="T1" t="s">
        <v>146</v>
      </c>
      <c r="U1" t="s">
        <v>147</v>
      </c>
      <c r="V1" t="s">
        <v>148</v>
      </c>
      <c r="W1" t="s">
        <v>149</v>
      </c>
      <c r="X1" t="s">
        <v>150</v>
      </c>
    </row>
    <row r="2" spans="1:24" x14ac:dyDescent="0.55000000000000004">
      <c r="A2" s="2">
        <v>0</v>
      </c>
      <c r="B2" s="2">
        <v>0</v>
      </c>
      <c r="C2" s="2">
        <v>0</v>
      </c>
      <c r="D2" t="s">
        <v>67</v>
      </c>
      <c r="E2" t="s">
        <v>67</v>
      </c>
      <c r="F2" t="s">
        <v>67</v>
      </c>
      <c r="G2" t="s">
        <v>67</v>
      </c>
      <c r="H2" t="s">
        <v>67</v>
      </c>
      <c r="I2" t="s">
        <v>67</v>
      </c>
      <c r="J2" t="s">
        <v>67</v>
      </c>
      <c r="K2" s="2">
        <v>0</v>
      </c>
      <c r="L2" s="3">
        <v>0</v>
      </c>
      <c r="M2" s="3">
        <v>0</v>
      </c>
      <c r="N2" s="3">
        <v>0</v>
      </c>
      <c r="O2" t="s">
        <v>67</v>
      </c>
      <c r="P2" s="3">
        <v>0</v>
      </c>
      <c r="Q2" t="s">
        <v>67</v>
      </c>
      <c r="R2" s="4">
        <v>0</v>
      </c>
      <c r="S2" t="s">
        <v>102</v>
      </c>
      <c r="T2" t="s">
        <v>102</v>
      </c>
      <c r="U2" t="s">
        <v>102</v>
      </c>
      <c r="V2" t="s">
        <v>67</v>
      </c>
      <c r="W2" t="s">
        <v>67</v>
      </c>
      <c r="X2" t="s">
        <v>67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E0508-8182-402C-BB5C-94216E748C4D}">
  <dimension ref="A1:H2"/>
  <sheetViews>
    <sheetView workbookViewId="0">
      <selection activeCell="P27" sqref="P27"/>
    </sheetView>
  </sheetViews>
  <sheetFormatPr defaultRowHeight="18" x14ac:dyDescent="0.55000000000000004"/>
  <cols>
    <col min="1" max="1" width="18.4140625" bestFit="1" customWidth="1"/>
  </cols>
  <sheetData>
    <row r="1" spans="1:8" x14ac:dyDescent="0.55000000000000004">
      <c r="A1" t="s">
        <v>151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</row>
    <row r="2" spans="1:8" x14ac:dyDescent="0.55000000000000004">
      <c r="A2" t="s">
        <v>67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  <c r="H2" t="s">
        <v>67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0135-2DF7-49FC-B6AE-C7E70BA2A176}">
  <dimension ref="A1:D2"/>
  <sheetViews>
    <sheetView workbookViewId="0">
      <selection activeCell="P27" sqref="P27"/>
    </sheetView>
  </sheetViews>
  <sheetFormatPr defaultRowHeight="18" x14ac:dyDescent="0.55000000000000004"/>
  <cols>
    <col min="1" max="1" width="18.4140625" bestFit="1" customWidth="1"/>
  </cols>
  <sheetData>
    <row r="1" spans="1:4" x14ac:dyDescent="0.55000000000000004">
      <c r="A1" t="s">
        <v>159</v>
      </c>
      <c r="B1" t="s">
        <v>160</v>
      </c>
      <c r="C1" t="s">
        <v>161</v>
      </c>
      <c r="D1" t="s">
        <v>162</v>
      </c>
    </row>
    <row r="2" spans="1:4" x14ac:dyDescent="0.55000000000000004">
      <c r="A2" t="s">
        <v>67</v>
      </c>
      <c r="B2" t="s">
        <v>67</v>
      </c>
      <c r="C2" s="3">
        <v>0</v>
      </c>
      <c r="D2" s="3">
        <v>0</v>
      </c>
    </row>
  </sheetData>
  <phoneticPr fontId="2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Date</vt:lpstr>
      <vt:lpstr>Remaining Sales Order</vt:lpstr>
      <vt:lpstr>Sales Order Actual</vt:lpstr>
      <vt:lpstr>Sales Order Balance</vt:lpstr>
      <vt:lpstr>Customer</vt:lpstr>
      <vt:lpstr>Order Summary by Customer</vt:lpstr>
      <vt:lpstr>TranslationData</vt:lpstr>
      <vt:lpstr>CaptionData</vt:lpstr>
      <vt:lpstr>Aggregated Metadata</vt:lpstr>
      <vt:lpstr>DateSheet</vt:lpstr>
      <vt:lpstr>RemainingSalesOrder</vt:lpstr>
      <vt:lpstr>SalesOrderActual</vt:lpstr>
      <vt:lpstr>SalesOrderBalance</vt:lpstr>
      <vt:lpstr>CustomerSheet</vt:lpstr>
      <vt:lpstr>OrderSummarybyCustomer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Shawn Li</cp:lastModifiedBy>
  <dcterms:modified xsi:type="dcterms:W3CDTF">2026-10-14T14:14:21Z</dcterms:modified>
</cp:coreProperties>
</file>